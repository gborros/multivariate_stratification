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01459189\OneDrive\phd\hpc\mediods\"/>
    </mc:Choice>
  </mc:AlternateContent>
  <xr:revisionPtr revIDLastSave="0" documentId="13_ncr:1_{5602695D-F600-4957-8D34-78391893FC8C}" xr6:coauthVersionLast="47" xr6:coauthVersionMax="47" xr10:uidLastSave="{00000000-0000-0000-0000-000000000000}"/>
  <bookViews>
    <workbookView xWindow="15345" yWindow="-16320" windowWidth="29040" windowHeight="15720" activeTab="1" xr2:uid="{00000000-000D-0000-FFFF-FFFF00000000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<sst xmlns="http://schemas.openxmlformats.org/spreadsheetml/2006/main" count="262" uniqueCount="80">
  <si>
    <t>d_comb1</t>
  </si>
  <si>
    <t>kmeans</t>
  </si>
  <si>
    <t>mclust</t>
  </si>
  <si>
    <t>d_comb2</t>
  </si>
  <si>
    <t>d_comb3</t>
  </si>
  <si>
    <t>med</t>
  </si>
  <si>
    <t>d_comb4</t>
  </si>
  <si>
    <t>d_comb5</t>
  </si>
  <si>
    <t>d_lognorm</t>
  </si>
  <si>
    <t>d_lognorm_low</t>
  </si>
  <si>
    <t>d_norm</t>
  </si>
  <si>
    <t>d_norm_low</t>
  </si>
  <si>
    <t>dataset</t>
  </si>
  <si>
    <t>strata</t>
  </si>
  <si>
    <t>N</t>
  </si>
  <si>
    <t>min_cv</t>
  </si>
  <si>
    <t>methods</t>
  </si>
  <si>
    <t>ballbar</t>
  </si>
  <si>
    <t>done</t>
  </si>
  <si>
    <t>run_ballbar_d_comb1_4strata</t>
  </si>
  <si>
    <t>status</t>
  </si>
  <si>
    <t>run_ballbar_d_comb1_250</t>
  </si>
  <si>
    <t>run_ballbar_d_comb1</t>
  </si>
  <si>
    <t>run_ballbar_d_comb1_750</t>
  </si>
  <si>
    <t>run_ballbar_d_comb1_6strata</t>
  </si>
  <si>
    <t>run_ballbar_d_comb2_4strata</t>
  </si>
  <si>
    <t>run_ballbar_d_comb2_250</t>
  </si>
  <si>
    <t>run_ballbar_d_comb2</t>
  </si>
  <si>
    <t>run_ballbar_d_comb2_750</t>
  </si>
  <si>
    <t>run_ballbar_d_comb2_6strata</t>
  </si>
  <si>
    <t>run_ballbar_d_comb3_4strata</t>
  </si>
  <si>
    <t>run_ballbar_d_comb3</t>
  </si>
  <si>
    <t>run_ballbar_d_comb3_250</t>
  </si>
  <si>
    <t>run_ballbar_d_comb3_750</t>
  </si>
  <si>
    <t>run_ballbar_d_comb3_6strata</t>
  </si>
  <si>
    <t>run_ballbar_d_comb4_4strata</t>
  </si>
  <si>
    <t>run_ballbar_d_comb4_250</t>
  </si>
  <si>
    <t>run_ballbar_d_comb4</t>
  </si>
  <si>
    <t>run_ballbar_d_comb4_750</t>
  </si>
  <si>
    <t>run_ballbar_d_comb4_6strata</t>
  </si>
  <si>
    <t>run_ballbar_d_comb5_4strata</t>
  </si>
  <si>
    <t>run_ballbar_d_comb5_250</t>
  </si>
  <si>
    <t>run_ballbar_d_comb5</t>
  </si>
  <si>
    <t>run_ballbar_d_comb5_750</t>
  </si>
  <si>
    <t>run_ballbar_d_comb5_6strata</t>
  </si>
  <si>
    <t>run_ballbar_d_lognorm_4strata</t>
  </si>
  <si>
    <t>run_ballbar_d_lognorm_250</t>
  </si>
  <si>
    <t>run_ballbar_d_lognorm</t>
  </si>
  <si>
    <t>run_ballbar_d_lognorm_750</t>
  </si>
  <si>
    <t>run_ballbar_d_lognorm_6strata</t>
  </si>
  <si>
    <t>run_ballbar_d_lognorm_low_4strata</t>
  </si>
  <si>
    <t>run_ballbar_d_lognorm_low_250</t>
  </si>
  <si>
    <t>run_ballbar_d_lognorm_low</t>
  </si>
  <si>
    <t>run_ballbar_d_lognorm_low_750</t>
  </si>
  <si>
    <t>run_ballbar_d_lognorm_low_6strata</t>
  </si>
  <si>
    <t>run_ballbar_d_norm_low_4strata</t>
  </si>
  <si>
    <t>run_ballbar_d_norm_low_250</t>
  </si>
  <si>
    <t>run_ballbar_d_norm_low</t>
  </si>
  <si>
    <t>run_ballbar_d_norm_low_750</t>
  </si>
  <si>
    <t>run_ballbar_d_norm_low_6strata</t>
  </si>
  <si>
    <t>run_ballbar_d_norm_4strata</t>
  </si>
  <si>
    <t>run_ballbar_d_norm_250</t>
  </si>
  <si>
    <t>run_ballbar_d_norm</t>
  </si>
  <si>
    <t>run_ballbar_d_norm_750</t>
  </si>
  <si>
    <t>run_ballbar_d_norm_6strata</t>
  </si>
  <si>
    <t>notes</t>
  </si>
  <si>
    <t>failed</t>
  </si>
  <si>
    <t>failed due to kmeans not providing enough clusters (6) for initial solution. Investigate further.</t>
  </si>
  <si>
    <t>Fix</t>
  </si>
  <si>
    <t>Proceed without suggested solutions</t>
  </si>
  <si>
    <t>re-run</t>
  </si>
  <si>
    <t>failed due to kmeans not providing enough clusters (5) for initial solution. Investigate further.</t>
  </si>
  <si>
    <t>failed due to kmeans not providing enough clusters (4) for initial solution. Investigate further.</t>
  </si>
  <si>
    <t>Row Labels</t>
  </si>
  <si>
    <t>(blank)</t>
  </si>
  <si>
    <t>Grand Total</t>
  </si>
  <si>
    <t>Count of min_cv</t>
  </si>
  <si>
    <t>Round 2</t>
  </si>
  <si>
    <t>same</t>
  </si>
  <si>
    <t>different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</si>
</sst>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ina Borros" refreshedDate="46108.749360532405" createdVersion="8" refreshedVersion="8" minRefreshableVersion="3" recordCount="46" xr:uid="{9E9C7ACC-47DA-4869-BCEA-F423F9E3CD59}">
  <cacheSource type="worksheet">
    <worksheetSource ref="A1:I1048576" sheet="Sheet1"/>
  </cacheSource>
  <cacheFields count="9">
    <cacheField name="dataset" numFmtId="0">
      <sharedItems containsBlank="1" count="10">
        <s v="d_comb1"/>
        <s v="d_comb2"/>
        <s v="d_comb3"/>
        <s v="d_comb4"/>
        <s v="d_comb5"/>
        <s v="d_lognorm"/>
        <s v="d_lognorm_low"/>
        <s v="d_norm"/>
        <s v="d_norm_low"/>
        <m/>
      </sharedItems>
    </cacheField>
    <cacheField name="strata" numFmtId="0">
      <sharedItems containsString="0" containsBlank="1" containsNumber="1" containsInteger="1" minValue="4" maxValue="6" count="4">
        <n v="4"/>
        <n v="5"/>
        <n v="6"/>
        <m/>
      </sharedItems>
    </cacheField>
    <cacheField name="N" numFmtId="0">
      <sharedItems containsString="0" containsBlank="1" containsNumber="1" containsInteger="1" minValue="250" maxValue="750" count="4">
        <n v="500"/>
        <n v="250"/>
        <n v="750"/>
        <m/>
      </sharedItems>
    </cacheField>
    <cacheField name="min_cv" numFmtId="0">
      <sharedItems containsString="0" containsBlank="1" containsNumber="1" minValue="1.47309514761527E-2" maxValue="9.8325223776476497E-2"/>
    </cacheField>
    <cacheField name="methods" numFmtId="0">
      <sharedItems containsBlank="1" count="4">
        <s v="kmeans"/>
        <s v="mclust"/>
        <s v="med"/>
        <m/>
      </sharedItems>
    </cacheField>
    <cacheField name="ballbar" numFmtId="0">
      <sharedItems containsBlank="1"/>
    </cacheField>
    <cacheField name="status" numFmtId="0">
      <sharedItems containsBlank="1"/>
    </cacheField>
    <cacheField name="notes" numFmtId="0">
      <sharedItems containsBlank="1"/>
    </cacheField>
    <cacheField name="Fix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x v="0"/>
    <n v="3.8136815153045601E-2"/>
    <x v="0"/>
    <s v="run_ballbar_d_comb1_4strata"/>
    <s v="done"/>
    <m/>
    <m/>
  </r>
  <r>
    <x v="0"/>
    <x v="1"/>
    <x v="1"/>
    <n v="5.1512841948818798E-2"/>
    <x v="1"/>
    <s v="run_ballbar_d_comb1_250"/>
    <s v="done"/>
    <m/>
    <m/>
  </r>
  <r>
    <x v="0"/>
    <x v="1"/>
    <x v="0"/>
    <n v="3.6067500131084701E-2"/>
    <x v="0"/>
    <s v="run_ballbar_d_comb1"/>
    <s v="done"/>
    <m/>
    <m/>
  </r>
  <r>
    <x v="0"/>
    <x v="1"/>
    <x v="2"/>
    <n v="2.79915675854603E-2"/>
    <x v="1"/>
    <s v="run_ballbar_d_comb1_750"/>
    <s v="done"/>
    <m/>
    <m/>
  </r>
  <r>
    <x v="0"/>
    <x v="2"/>
    <x v="0"/>
    <n v="3.4591130534472603E-2"/>
    <x v="0"/>
    <s v="run_ballbar_d_comb1_6strata"/>
    <s v="re-run"/>
    <s v="failed due to kmeans not providing enough clusters (6) for initial solution. Investigate further."/>
    <s v="Proceed without suggested solutions"/>
  </r>
  <r>
    <x v="1"/>
    <x v="0"/>
    <x v="0"/>
    <n v="3.9770126478005798E-2"/>
    <x v="1"/>
    <s v="run_ballbar_d_comb2_4strata"/>
    <s v="done"/>
    <m/>
    <m/>
  </r>
  <r>
    <x v="1"/>
    <x v="1"/>
    <x v="1"/>
    <n v="5.3522430608763098E-2"/>
    <x v="1"/>
    <s v="run_ballbar_d_comb2_250"/>
    <s v="done"/>
    <m/>
    <m/>
  </r>
  <r>
    <x v="1"/>
    <x v="1"/>
    <x v="0"/>
    <n v="3.80348059578553E-2"/>
    <x v="1"/>
    <s v="run_ballbar_d_comb2"/>
    <s v="done"/>
    <m/>
    <m/>
  </r>
  <r>
    <x v="1"/>
    <x v="1"/>
    <x v="2"/>
    <n v="2.9167776910362601E-2"/>
    <x v="1"/>
    <s v="run_ballbar_d_comb2_750"/>
    <s v="done"/>
    <m/>
    <m/>
  </r>
  <r>
    <x v="1"/>
    <x v="2"/>
    <x v="0"/>
    <n v="3.6776488368038499E-2"/>
    <x v="0"/>
    <s v="run_ballbar_d_comb2_6strata"/>
    <s v="done"/>
    <m/>
    <m/>
  </r>
  <r>
    <x v="2"/>
    <x v="0"/>
    <x v="0"/>
    <n v="7.1166477744289899E-2"/>
    <x v="0"/>
    <s v="run_ballbar_d_comb3_4strata"/>
    <s v="done"/>
    <m/>
    <m/>
  </r>
  <r>
    <x v="2"/>
    <x v="1"/>
    <x v="1"/>
    <n v="9.8325223776476497E-2"/>
    <x v="1"/>
    <s v="run_ballbar_d_comb3_250"/>
    <s v="done"/>
    <m/>
    <m/>
  </r>
  <r>
    <x v="2"/>
    <x v="1"/>
    <x v="0"/>
    <n v="6.83148680013482E-2"/>
    <x v="0"/>
    <s v="run_ballbar_d_comb3"/>
    <s v="done"/>
    <m/>
    <m/>
  </r>
  <r>
    <x v="2"/>
    <x v="1"/>
    <x v="2"/>
    <n v="5.3380495953784801E-2"/>
    <x v="1"/>
    <s v="run_ballbar_d_comb3_750"/>
    <s v="failed"/>
    <s v="failed due to kmeans not providing enough clusters (5) for initial solution. Investigate further."/>
    <s v="Proceed without suggested solutions"/>
  </r>
  <r>
    <x v="2"/>
    <x v="2"/>
    <x v="0"/>
    <n v="6.5111002097178405E-2"/>
    <x v="2"/>
    <s v="run_ballbar_d_comb3_6strata"/>
    <s v="done"/>
    <m/>
    <m/>
  </r>
  <r>
    <x v="3"/>
    <x v="0"/>
    <x v="0"/>
    <n v="3.8749023824797897E-2"/>
    <x v="0"/>
    <s v="run_ballbar_d_comb4_4strata"/>
    <s v="done"/>
    <m/>
    <m/>
  </r>
  <r>
    <x v="3"/>
    <x v="1"/>
    <x v="1"/>
    <n v="5.3768015760103899E-2"/>
    <x v="0"/>
    <s v="run_ballbar_d_comb4_250"/>
    <s v="failed"/>
    <s v="failed due to kmeans not providing enough clusters (5) for initial solution. Investigate further."/>
    <s v="Proceed without suggested solutions"/>
  </r>
  <r>
    <x v="3"/>
    <x v="1"/>
    <x v="0"/>
    <n v="3.6941742994554203E-2"/>
    <x v="0"/>
    <s v="run_ballbar_d_comb4"/>
    <s v="done"/>
    <m/>
    <m/>
  </r>
  <r>
    <x v="3"/>
    <x v="1"/>
    <x v="2"/>
    <n v="2.9262397659571698E-2"/>
    <x v="0"/>
    <s v="run_ballbar_d_comb4_750"/>
    <s v="done"/>
    <m/>
    <m/>
  </r>
  <r>
    <x v="3"/>
    <x v="2"/>
    <x v="0"/>
    <n v="3.56598199950382E-2"/>
    <x v="0"/>
    <s v="run_ballbar_d_comb4_6strata"/>
    <s v="done"/>
    <m/>
    <m/>
  </r>
  <r>
    <x v="4"/>
    <x v="0"/>
    <x v="0"/>
    <n v="3.0250322041882299E-2"/>
    <x v="0"/>
    <s v="run_ballbar_d_comb5_4strata"/>
    <s v="failed"/>
    <s v="failed due to kmeans not providing enough clusters (4) for initial solution. Investigate further."/>
    <s v="Proceed without suggested solutions"/>
  </r>
  <r>
    <x v="4"/>
    <x v="1"/>
    <x v="1"/>
    <n v="4.1335915399068598E-2"/>
    <x v="1"/>
    <s v="run_ballbar_d_comb5_250"/>
    <s v="done"/>
    <m/>
    <m/>
  </r>
  <r>
    <x v="4"/>
    <x v="1"/>
    <x v="0"/>
    <n v="2.93976914367414E-2"/>
    <x v="2"/>
    <s v="run_ballbar_d_comb5"/>
    <s v="done"/>
    <m/>
    <m/>
  </r>
  <r>
    <x v="4"/>
    <x v="1"/>
    <x v="2"/>
    <n v="2.24712724113054E-2"/>
    <x v="1"/>
    <s v="run_ballbar_d_comb5_750"/>
    <s v="done"/>
    <m/>
    <m/>
  </r>
  <r>
    <x v="4"/>
    <x v="2"/>
    <x v="0"/>
    <n v="2.82119715358609E-2"/>
    <x v="2"/>
    <s v="run_ballbar_d_comb5_6strata"/>
    <s v="done"/>
    <m/>
    <m/>
  </r>
  <r>
    <x v="5"/>
    <x v="0"/>
    <x v="0"/>
    <n v="3.7862582354994498E-2"/>
    <x v="1"/>
    <s v="run_ballbar_d_lognorm_4strata"/>
    <s v="done"/>
    <m/>
    <m/>
  </r>
  <r>
    <x v="5"/>
    <x v="1"/>
    <x v="1"/>
    <n v="5.1395198935372803E-2"/>
    <x v="1"/>
    <s v="run_ballbar_d_lognorm_250"/>
    <s v="done"/>
    <m/>
    <m/>
  </r>
  <r>
    <x v="5"/>
    <x v="1"/>
    <x v="0"/>
    <n v="3.65381721306519E-2"/>
    <x v="2"/>
    <s v="run_ballbar_d_lognorm"/>
    <s v="done"/>
    <m/>
    <m/>
  </r>
  <r>
    <x v="5"/>
    <x v="1"/>
    <x v="2"/>
    <n v="2.7808643927971201E-2"/>
    <x v="1"/>
    <s v="run_ballbar_d_lognorm_750"/>
    <s v="done"/>
    <m/>
    <m/>
  </r>
  <r>
    <x v="5"/>
    <x v="2"/>
    <x v="0"/>
    <n v="3.48139721072269E-2"/>
    <x v="2"/>
    <s v="run_ballbar_d_lognorm_6strata"/>
    <s v="done"/>
    <m/>
    <m/>
  </r>
  <r>
    <x v="6"/>
    <x v="0"/>
    <x v="0"/>
    <n v="4.2394730168965E-2"/>
    <x v="0"/>
    <s v="run_ballbar_d_lognorm_low_4strata"/>
    <s v="failed"/>
    <s v="failed due to kmeans not providing enough clusters (4) for initial solution. Investigate further."/>
    <s v="Proceed without suggested solutions"/>
  </r>
  <r>
    <x v="6"/>
    <x v="1"/>
    <x v="1"/>
    <n v="5.7667557550383899E-2"/>
    <x v="1"/>
    <s v="run_ballbar_d_lognorm_low_250"/>
    <s v="done"/>
    <m/>
    <m/>
  </r>
  <r>
    <x v="6"/>
    <x v="1"/>
    <x v="0"/>
    <n v="4.1005343546154503E-2"/>
    <x v="0"/>
    <s v="run_ballbar_d_lognorm_low"/>
    <s v="done"/>
    <m/>
    <m/>
  </r>
  <r>
    <x v="6"/>
    <x v="1"/>
    <x v="2"/>
    <n v="3.1305239397767803E-2"/>
    <x v="1"/>
    <s v="run_ballbar_d_lognorm_low_750"/>
    <s v="done"/>
    <m/>
    <m/>
  </r>
  <r>
    <x v="6"/>
    <x v="2"/>
    <x v="0"/>
    <n v="3.9325185851260498E-2"/>
    <x v="0"/>
    <s v="run_ballbar_d_lognorm_low_6strata"/>
    <s v="done"/>
    <m/>
    <m/>
  </r>
  <r>
    <x v="7"/>
    <x v="0"/>
    <x v="0"/>
    <n v="1.90762285062001E-2"/>
    <x v="1"/>
    <s v="run_ballbar_d_norm_4strata"/>
    <s v="done"/>
    <m/>
    <m/>
  </r>
  <r>
    <x v="7"/>
    <x v="1"/>
    <x v="1"/>
    <n v="2.6983121624501699E-2"/>
    <x v="2"/>
    <s v="run_ballbar_d_norm_250"/>
    <s v="done"/>
    <m/>
    <m/>
  </r>
  <r>
    <x v="7"/>
    <x v="1"/>
    <x v="0"/>
    <n v="1.8567472074001098E-2"/>
    <x v="2"/>
    <s v="run_ballbar_d_norm"/>
    <s v="done"/>
    <m/>
    <m/>
  </r>
  <r>
    <x v="7"/>
    <x v="1"/>
    <x v="2"/>
    <n v="1.47309514761527E-2"/>
    <x v="2"/>
    <s v="run_ballbar_d_norm_750"/>
    <s v="done"/>
    <m/>
    <m/>
  </r>
  <r>
    <x v="7"/>
    <x v="2"/>
    <x v="0"/>
    <n v="1.8285777859235401E-2"/>
    <x v="2"/>
    <s v="run_ballbar_d_norm_6strata"/>
    <s v="done"/>
    <m/>
    <m/>
  </r>
  <r>
    <x v="8"/>
    <x v="0"/>
    <x v="0"/>
    <n v="2.3218116823366101E-2"/>
    <x v="0"/>
    <s v="run_ballbar_d_norm_low_4strata"/>
    <s v="failed"/>
    <s v="failed due to kmeans not providing enough clusters (4) for initial solution. Investigate further."/>
    <s v="Proceed without suggested solutions"/>
  </r>
  <r>
    <x v="8"/>
    <x v="1"/>
    <x v="1"/>
    <n v="3.1248772884319001E-2"/>
    <x v="1"/>
    <s v="run_ballbar_d_norm_low_250"/>
    <s v="failed"/>
    <s v="failed due to kmeans not providing enough clusters (4) for initial solution. Investigate further."/>
    <s v="Proceed without suggested solutions"/>
  </r>
  <r>
    <x v="8"/>
    <x v="1"/>
    <x v="0"/>
    <n v="2.2119097122757701E-2"/>
    <x v="2"/>
    <s v="run_ballbar_d_norm_low"/>
    <s v="failed"/>
    <s v="failed due to kmeans not providing enough clusters (4) for initial solution. Investigate further."/>
    <s v="Proceed without suggested solutions"/>
  </r>
  <r>
    <x v="8"/>
    <x v="1"/>
    <x v="2"/>
    <n v="1.7064719528380901E-2"/>
    <x v="1"/>
    <s v="run_ballbar_d_norm_low_750"/>
    <s v="failed"/>
    <s v="failed due to kmeans not providing enough clusters (4) for initial solution. Investigate further."/>
    <s v="Proceed without suggested solutions"/>
  </r>
  <r>
    <x v="8"/>
    <x v="2"/>
    <x v="0"/>
    <n v="2.10634549824186E-2"/>
    <x v="0"/>
    <s v="run_ballbar_d_norm_low_6strata"/>
    <s v="failed"/>
    <s v="failed due to kmeans not providing enough clusters (4) for initial solution. Investigate further."/>
    <s v="Proceed without suggested solutions"/>
  </r>
  <r>
    <x v="9"/>
    <x v="3"/>
    <x v="3"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1769DE-A019-409A-89ED-56A154FFC32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9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ataField="1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min_cv" fld="3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3B517-8CCE-43EF-9A65-5D501382DAF0}">
  <dimension ref="A3:B8"/>
  <sheetViews>
    <sheetView workbookViewId="0">
      <selection activeCell="A3" sqref="A3:B8"/>
    </sheetView>
  </sheetViews>
  <sheetFormatPr defaultRowHeight="14.4" x14ac:dyDescent="0.3"/>
  <cols>
    <col min="1" max="1" width="12.5546875" bestFit="1" customWidth="1"/>
    <col min="2" max="2" width="15" bestFit="1" customWidth="1"/>
    <col min="3" max="6" width="8.88671875" bestFit="1" customWidth="1"/>
    <col min="7" max="7" width="10.21875" bestFit="1" customWidth="1"/>
    <col min="8" max="8" width="14.33203125" bestFit="1" customWidth="1"/>
    <col min="9" max="9" width="7.6640625" bestFit="1" customWidth="1"/>
    <col min="10" max="10" width="11.6640625" bestFit="1" customWidth="1"/>
    <col min="11" max="11" width="7" bestFit="1" customWidth="1"/>
    <col min="12" max="12" width="10.77734375" bestFit="1" customWidth="1"/>
    <col min="13" max="13" width="11.6640625" bestFit="1" customWidth="1"/>
    <col min="14" max="14" width="10.77734375" bestFit="1" customWidth="1"/>
    <col min="15" max="15" width="8.6640625" bestFit="1" customWidth="1"/>
    <col min="16" max="16" width="6" bestFit="1" customWidth="1"/>
    <col min="17" max="17" width="8.6640625" bestFit="1" customWidth="1"/>
    <col min="18" max="18" width="11.21875" bestFit="1" customWidth="1"/>
    <col min="19" max="19" width="6.77734375" bestFit="1" customWidth="1"/>
    <col min="20" max="20" width="8.6640625" bestFit="1" customWidth="1"/>
    <col min="21" max="21" width="6" bestFit="1" customWidth="1"/>
    <col min="22" max="22" width="2" bestFit="1" customWidth="1"/>
    <col min="23" max="23" width="8.6640625" bestFit="1" customWidth="1"/>
    <col min="24" max="24" width="6" bestFit="1" customWidth="1"/>
    <col min="25" max="25" width="8.6640625" bestFit="1" customWidth="1"/>
    <col min="26" max="26" width="9.44140625" bestFit="1" customWidth="1"/>
    <col min="27" max="27" width="9" bestFit="1" customWidth="1"/>
    <col min="28" max="29" width="11.6640625" bestFit="1" customWidth="1"/>
    <col min="30" max="30" width="10.77734375" bestFit="1" customWidth="1"/>
  </cols>
  <sheetData>
    <row r="3" spans="1:2" x14ac:dyDescent="0.3">
      <c r="A3" s="2" t="s">
        <v>73</v>
      </c>
      <c r="B3" t="s">
        <v>76</v>
      </c>
    </row>
    <row r="4" spans="1:2" x14ac:dyDescent="0.3">
      <c r="A4" s="3" t="s">
        <v>1</v>
      </c>
      <c r="B4">
        <v>17</v>
      </c>
    </row>
    <row r="5" spans="1:2" x14ac:dyDescent="0.3">
      <c r="A5" s="3" t="s">
        <v>2</v>
      </c>
      <c r="B5">
        <v>18</v>
      </c>
    </row>
    <row r="6" spans="1:2" x14ac:dyDescent="0.3">
      <c r="A6" s="3" t="s">
        <v>5</v>
      </c>
      <c r="B6">
        <v>10</v>
      </c>
    </row>
    <row r="7" spans="1:2" x14ac:dyDescent="0.3">
      <c r="A7" s="3" t="s">
        <v>74</v>
      </c>
    </row>
    <row r="8" spans="1:2" x14ac:dyDescent="0.3">
      <c r="A8" s="3" t="s">
        <v>75</v>
      </c>
      <c r="B8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activeCell="J47" sqref="J47"/>
    </sheetView>
  </sheetViews>
  <sheetFormatPr defaultRowHeight="14.4" x14ac:dyDescent="0.3"/>
  <cols>
    <col min="1" max="1" width="16.77734375" customWidth="1"/>
    <col min="6" max="6" width="29.5546875" customWidth="1"/>
    <col min="8" max="8" width="65.44140625" customWidth="1"/>
  </cols>
  <sheetData>
    <row r="1" spans="1:10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20</v>
      </c>
      <c r="H1" s="1" t="s">
        <v>65</v>
      </c>
      <c r="I1" s="1" t="s">
        <v>68</v>
      </c>
      <c r="J1" s="1" t="s">
        <v>77</v>
      </c>
    </row>
    <row r="2" spans="1:10" x14ac:dyDescent="0.3">
      <c r="A2" t="s">
        <v>0</v>
      </c>
      <c r="B2">
        <v>4</v>
      </c>
      <c r="C2">
        <v>500</v>
      </c>
      <c r="D2">
        <v>3.8136815153045601E-2</v>
      </c>
      <c r="E2" t="s">
        <v>1</v>
      </c>
      <c r="F2" t="s">
        <v>19</v>
      </c>
      <c r="G2" t="s">
        <v>18</v>
      </c>
      <c r="J2" t="s">
        <v>78</v>
      </c>
    </row>
    <row r="3" spans="1:10" x14ac:dyDescent="0.3">
      <c r="A3" t="s">
        <v>0</v>
      </c>
      <c r="B3">
        <v>5</v>
      </c>
      <c r="C3">
        <v>250</v>
      </c>
      <c r="D3">
        <v>5.1512841948818798E-2</v>
      </c>
      <c r="E3" t="s">
        <v>2</v>
      </c>
      <c r="F3" t="s">
        <v>21</v>
      </c>
      <c r="G3" t="s">
        <v>18</v>
      </c>
      <c r="J3" t="s">
        <v>78</v>
      </c>
    </row>
    <row r="4" spans="1:10" x14ac:dyDescent="0.3">
      <c r="A4" t="s">
        <v>0</v>
      </c>
      <c r="B4">
        <v>5</v>
      </c>
      <c r="C4">
        <v>500</v>
      </c>
      <c r="D4">
        <v>3.6067500131084701E-2</v>
      </c>
      <c r="E4" t="s">
        <v>1</v>
      </c>
      <c r="F4" t="s">
        <v>22</v>
      </c>
      <c r="G4" t="s">
        <v>18</v>
      </c>
      <c r="J4" t="s">
        <v>78</v>
      </c>
    </row>
    <row r="5" spans="1:10" x14ac:dyDescent="0.3">
      <c r="A5" t="s">
        <v>0</v>
      </c>
      <c r="B5">
        <v>5</v>
      </c>
      <c r="C5">
        <v>750</v>
      </c>
      <c r="D5">
        <v>2.79915675854603E-2</v>
      </c>
      <c r="E5" t="s">
        <v>2</v>
      </c>
      <c r="F5" t="s">
        <v>23</v>
      </c>
      <c r="G5" t="s">
        <v>18</v>
      </c>
      <c r="J5" t="s">
        <v>78</v>
      </c>
    </row>
    <row r="6" spans="1:10" x14ac:dyDescent="0.3">
      <c r="A6" t="s">
        <v>0</v>
      </c>
      <c r="B6">
        <v>6</v>
      </c>
      <c r="C6">
        <v>500</v>
      </c>
      <c r="D6">
        <v>3.4591130534472603E-2</v>
      </c>
      <c r="E6" t="s">
        <v>1</v>
      </c>
      <c r="F6" t="s">
        <v>24</v>
      </c>
      <c r="G6" t="s">
        <v>70</v>
      </c>
      <c r="H6" t="s">
        <v>67</v>
      </c>
      <c r="I6" t="s">
        <v>69</v>
      </c>
      <c r="J6" t="s">
        <v>78</v>
      </c>
    </row>
    <row r="7" spans="1:10" x14ac:dyDescent="0.3">
      <c r="A7" t="s">
        <v>3</v>
      </c>
      <c r="B7">
        <v>4</v>
      </c>
      <c r="C7">
        <v>500</v>
      </c>
      <c r="D7">
        <v>3.9770126478005798E-2</v>
      </c>
      <c r="E7" t="s">
        <v>2</v>
      </c>
      <c r="F7" t="s">
        <v>25</v>
      </c>
      <c r="G7" t="s">
        <v>18</v>
      </c>
      <c r="J7" t="s">
        <v>78</v>
      </c>
    </row>
    <row r="8" spans="1:10" x14ac:dyDescent="0.3">
      <c r="A8" t="s">
        <v>3</v>
      </c>
      <c r="B8">
        <v>5</v>
      </c>
      <c r="C8">
        <v>250</v>
      </c>
      <c r="D8">
        <v>5.3522430608763098E-2</v>
      </c>
      <c r="E8" t="s">
        <v>2</v>
      </c>
      <c r="F8" t="s">
        <v>26</v>
      </c>
      <c r="G8" t="s">
        <v>18</v>
      </c>
      <c r="J8" t="s">
        <v>78</v>
      </c>
    </row>
    <row r="9" spans="1:10" x14ac:dyDescent="0.3">
      <c r="A9" t="s">
        <v>3</v>
      </c>
      <c r="B9">
        <v>5</v>
      </c>
      <c r="C9">
        <v>500</v>
      </c>
      <c r="D9">
        <v>3.80348059578553E-2</v>
      </c>
      <c r="E9" t="s">
        <v>2</v>
      </c>
      <c r="F9" t="s">
        <v>27</v>
      </c>
      <c r="G9" t="s">
        <v>18</v>
      </c>
      <c r="J9" t="s">
        <v>78</v>
      </c>
    </row>
    <row r="10" spans="1:10" x14ac:dyDescent="0.3">
      <c r="A10" t="s">
        <v>3</v>
      </c>
      <c r="B10">
        <v>5</v>
      </c>
      <c r="C10">
        <v>750</v>
      </c>
      <c r="D10">
        <v>2.9167776910362601E-2</v>
      </c>
      <c r="E10" t="s">
        <v>2</v>
      </c>
      <c r="F10" t="s">
        <v>28</v>
      </c>
      <c r="G10" t="s">
        <v>18</v>
      </c>
      <c r="J10" t="s">
        <v>78</v>
      </c>
    </row>
    <row r="11" spans="1:10" x14ac:dyDescent="0.3">
      <c r="A11" t="s">
        <v>3</v>
      </c>
      <c r="B11">
        <v>6</v>
      </c>
      <c r="C11">
        <v>500</v>
      </c>
      <c r="D11">
        <v>3.6776488368038499E-2</v>
      </c>
      <c r="E11" t="s">
        <v>1</v>
      </c>
      <c r="F11" t="s">
        <v>29</v>
      </c>
      <c r="G11" t="s">
        <v>18</v>
      </c>
      <c r="J11" t="s">
        <v>79</v>
      </c>
    </row>
    <row r="12" spans="1:10" x14ac:dyDescent="0.3">
      <c r="A12" t="s">
        <v>4</v>
      </c>
      <c r="B12">
        <v>4</v>
      </c>
      <c r="C12">
        <v>500</v>
      </c>
      <c r="D12">
        <v>7.1166477744289899E-2</v>
      </c>
      <c r="E12" t="s">
        <v>1</v>
      </c>
      <c r="F12" t="s">
        <v>30</v>
      </c>
      <c r="G12" t="s">
        <v>18</v>
      </c>
      <c r="J12" t="s">
        <v>78</v>
      </c>
    </row>
    <row r="13" spans="1:10" x14ac:dyDescent="0.3">
      <c r="A13" t="s">
        <v>4</v>
      </c>
      <c r="B13">
        <v>5</v>
      </c>
      <c r="C13">
        <v>250</v>
      </c>
      <c r="D13">
        <v>9.8325223776476497E-2</v>
      </c>
      <c r="E13" t="s">
        <v>2</v>
      </c>
      <c r="F13" t="s">
        <v>32</v>
      </c>
      <c r="G13" t="s">
        <v>18</v>
      </c>
      <c r="J13" t="s">
        <v>78</v>
      </c>
    </row>
    <row r="14" spans="1:10" x14ac:dyDescent="0.3">
      <c r="A14" t="s">
        <v>4</v>
      </c>
      <c r="B14">
        <v>5</v>
      </c>
      <c r="C14">
        <v>500</v>
      </c>
      <c r="D14">
        <v>6.83148680013482E-2</v>
      </c>
      <c r="E14" t="s">
        <v>1</v>
      </c>
      <c r="F14" t="s">
        <v>31</v>
      </c>
      <c r="G14" t="s">
        <v>18</v>
      </c>
      <c r="J14" t="s">
        <v>78</v>
      </c>
    </row>
    <row r="15" spans="1:10" x14ac:dyDescent="0.3">
      <c r="A15" t="s">
        <v>4</v>
      </c>
      <c r="B15">
        <v>5</v>
      </c>
      <c r="C15">
        <v>750</v>
      </c>
      <c r="D15">
        <v>5.3380495953784801E-2</v>
      </c>
      <c r="E15" t="s">
        <v>2</v>
      </c>
      <c r="F15" t="s">
        <v>33</v>
      </c>
      <c r="G15" t="s">
        <v>66</v>
      </c>
      <c r="H15" t="s">
        <v>71</v>
      </c>
      <c r="I15" t="s">
        <v>69</v>
      </c>
      <c r="J15" t="s">
        <v>78</v>
      </c>
    </row>
    <row r="16" spans="1:10" x14ac:dyDescent="0.3">
      <c r="A16" t="s">
        <v>4</v>
      </c>
      <c r="B16">
        <v>6</v>
      </c>
      <c r="C16">
        <v>500</v>
      </c>
      <c r="D16">
        <v>6.5111002097178405E-2</v>
      </c>
      <c r="E16" t="s">
        <v>5</v>
      </c>
      <c r="F16" t="s">
        <v>34</v>
      </c>
      <c r="G16" t="s">
        <v>18</v>
      </c>
      <c r="J16" t="s">
        <v>78</v>
      </c>
    </row>
    <row r="17" spans="1:10" x14ac:dyDescent="0.3">
      <c r="A17" t="s">
        <v>6</v>
      </c>
      <c r="B17">
        <v>4</v>
      </c>
      <c r="C17">
        <v>500</v>
      </c>
      <c r="D17">
        <v>3.8749023824797897E-2</v>
      </c>
      <c r="E17" t="s">
        <v>1</v>
      </c>
      <c r="F17" t="s">
        <v>35</v>
      </c>
      <c r="G17" t="s">
        <v>18</v>
      </c>
      <c r="J17" t="s">
        <v>78</v>
      </c>
    </row>
    <row r="18" spans="1:10" x14ac:dyDescent="0.3">
      <c r="A18" t="s">
        <v>6</v>
      </c>
      <c r="B18">
        <v>5</v>
      </c>
      <c r="C18">
        <v>250</v>
      </c>
      <c r="D18">
        <v>5.3768015760103899E-2</v>
      </c>
      <c r="E18" t="s">
        <v>1</v>
      </c>
      <c r="F18" t="s">
        <v>36</v>
      </c>
      <c r="G18" t="s">
        <v>66</v>
      </c>
      <c r="H18" t="s">
        <v>71</v>
      </c>
      <c r="I18" t="s">
        <v>69</v>
      </c>
      <c r="J18" t="s">
        <v>78</v>
      </c>
    </row>
    <row r="19" spans="1:10" x14ac:dyDescent="0.3">
      <c r="A19" t="s">
        <v>6</v>
      </c>
      <c r="B19">
        <v>5</v>
      </c>
      <c r="C19">
        <v>500</v>
      </c>
      <c r="D19">
        <v>3.6941742994554203E-2</v>
      </c>
      <c r="E19" t="s">
        <v>1</v>
      </c>
      <c r="F19" t="s">
        <v>37</v>
      </c>
      <c r="G19" t="s">
        <v>18</v>
      </c>
      <c r="J19" t="s">
        <v>78</v>
      </c>
    </row>
    <row r="20" spans="1:10" x14ac:dyDescent="0.3">
      <c r="A20" t="s">
        <v>6</v>
      </c>
      <c r="B20">
        <v>5</v>
      </c>
      <c r="C20">
        <v>750</v>
      </c>
      <c r="D20">
        <v>2.9262397659571698E-2</v>
      </c>
      <c r="E20" t="s">
        <v>1</v>
      </c>
      <c r="F20" t="s">
        <v>38</v>
      </c>
      <c r="G20" t="s">
        <v>18</v>
      </c>
      <c r="J20" t="s">
        <v>78</v>
      </c>
    </row>
    <row r="21" spans="1:10" x14ac:dyDescent="0.3">
      <c r="A21" t="s">
        <v>6</v>
      </c>
      <c r="B21">
        <v>6</v>
      </c>
      <c r="C21">
        <v>500</v>
      </c>
      <c r="D21">
        <v>3.56598199950382E-2</v>
      </c>
      <c r="E21" t="s">
        <v>1</v>
      </c>
      <c r="F21" t="s">
        <v>39</v>
      </c>
      <c r="G21" t="s">
        <v>18</v>
      </c>
      <c r="J21" t="s">
        <v>78</v>
      </c>
    </row>
    <row r="22" spans="1:10" x14ac:dyDescent="0.3">
      <c r="A22" t="s">
        <v>7</v>
      </c>
      <c r="B22">
        <v>4</v>
      </c>
      <c r="C22">
        <v>500</v>
      </c>
      <c r="D22">
        <v>3.0250322041882299E-2</v>
      </c>
      <c r="E22" t="s">
        <v>1</v>
      </c>
      <c r="F22" t="s">
        <v>40</v>
      </c>
      <c r="G22" t="s">
        <v>66</v>
      </c>
      <c r="H22" t="s">
        <v>72</v>
      </c>
      <c r="I22" t="s">
        <v>69</v>
      </c>
      <c r="J22" t="s">
        <v>78</v>
      </c>
    </row>
    <row r="23" spans="1:10" x14ac:dyDescent="0.3">
      <c r="A23" t="s">
        <v>7</v>
      </c>
      <c r="B23">
        <v>5</v>
      </c>
      <c r="C23">
        <v>250</v>
      </c>
      <c r="D23">
        <v>4.1335915399068598E-2</v>
      </c>
      <c r="E23" t="s">
        <v>2</v>
      </c>
      <c r="F23" t="s">
        <v>41</v>
      </c>
      <c r="G23" t="s">
        <v>18</v>
      </c>
      <c r="J23" t="s">
        <v>78</v>
      </c>
    </row>
    <row r="24" spans="1:10" x14ac:dyDescent="0.3">
      <c r="A24" t="s">
        <v>7</v>
      </c>
      <c r="B24">
        <v>5</v>
      </c>
      <c r="C24">
        <v>500</v>
      </c>
      <c r="D24">
        <v>2.93976914367414E-2</v>
      </c>
      <c r="E24" t="s">
        <v>5</v>
      </c>
      <c r="F24" t="s">
        <v>42</v>
      </c>
      <c r="G24" t="s">
        <v>18</v>
      </c>
      <c r="J24" t="s">
        <v>78</v>
      </c>
    </row>
    <row r="25" spans="1:10" x14ac:dyDescent="0.3">
      <c r="A25" t="s">
        <v>7</v>
      </c>
      <c r="B25">
        <v>5</v>
      </c>
      <c r="C25">
        <v>750</v>
      </c>
      <c r="D25">
        <v>2.24712724113054E-2</v>
      </c>
      <c r="E25" t="s">
        <v>2</v>
      </c>
      <c r="F25" t="s">
        <v>43</v>
      </c>
      <c r="G25" t="s">
        <v>18</v>
      </c>
      <c r="J25" t="s">
        <v>78</v>
      </c>
    </row>
    <row r="26" spans="1:10" x14ac:dyDescent="0.3">
      <c r="A26" t="s">
        <v>7</v>
      </c>
      <c r="B26">
        <v>6</v>
      </c>
      <c r="C26">
        <v>500</v>
      </c>
      <c r="D26">
        <v>2.82119715358609E-2</v>
      </c>
      <c r="E26" t="s">
        <v>5</v>
      </c>
      <c r="F26" t="s">
        <v>44</v>
      </c>
      <c r="G26" t="s">
        <v>18</v>
      </c>
      <c r="J26" t="s">
        <v>78</v>
      </c>
    </row>
    <row r="27" spans="1:10" x14ac:dyDescent="0.3">
      <c r="A27" t="s">
        <v>8</v>
      </c>
      <c r="B27">
        <v>4</v>
      </c>
      <c r="C27">
        <v>500</v>
      </c>
      <c r="D27">
        <v>3.7862582354994498E-2</v>
      </c>
      <c r="E27" t="s">
        <v>2</v>
      </c>
      <c r="F27" t="s">
        <v>45</v>
      </c>
      <c r="G27" t="s">
        <v>18</v>
      </c>
      <c r="J27" t="s">
        <v>78</v>
      </c>
    </row>
    <row r="28" spans="1:10" x14ac:dyDescent="0.3">
      <c r="A28" t="s">
        <v>8</v>
      </c>
      <c r="B28">
        <v>5</v>
      </c>
      <c r="C28">
        <v>250</v>
      </c>
      <c r="D28">
        <v>5.1395198935372803E-2</v>
      </c>
      <c r="E28" t="s">
        <v>2</v>
      </c>
      <c r="F28" t="s">
        <v>46</v>
      </c>
      <c r="G28" t="s">
        <v>18</v>
      </c>
      <c r="J28" t="s">
        <v>78</v>
      </c>
    </row>
    <row r="29" spans="1:10" x14ac:dyDescent="0.3">
      <c r="A29" t="s">
        <v>8</v>
      </c>
      <c r="B29">
        <v>5</v>
      </c>
      <c r="C29">
        <v>500</v>
      </c>
      <c r="D29">
        <v>3.65381721306519E-2</v>
      </c>
      <c r="E29" t="s">
        <v>5</v>
      </c>
      <c r="F29" t="s">
        <v>47</v>
      </c>
      <c r="G29" t="s">
        <v>18</v>
      </c>
      <c r="J29" t="s">
        <v>78</v>
      </c>
    </row>
    <row r="30" spans="1:10" x14ac:dyDescent="0.3">
      <c r="A30" t="s">
        <v>8</v>
      </c>
      <c r="B30">
        <v>5</v>
      </c>
      <c r="C30">
        <v>750</v>
      </c>
      <c r="D30">
        <v>2.7808643927971201E-2</v>
      </c>
      <c r="E30" t="s">
        <v>2</v>
      </c>
      <c r="F30" t="s">
        <v>48</v>
      </c>
      <c r="G30" t="s">
        <v>18</v>
      </c>
      <c r="J30" t="s">
        <v>78</v>
      </c>
    </row>
    <row r="31" spans="1:10" x14ac:dyDescent="0.3">
      <c r="A31" t="s">
        <v>8</v>
      </c>
      <c r="B31">
        <v>6</v>
      </c>
      <c r="C31">
        <v>500</v>
      </c>
      <c r="D31">
        <v>3.48139721072269E-2</v>
      </c>
      <c r="E31" t="s">
        <v>5</v>
      </c>
      <c r="F31" t="s">
        <v>49</v>
      </c>
      <c r="G31" t="s">
        <v>18</v>
      </c>
      <c r="J31" t="s">
        <v>78</v>
      </c>
    </row>
    <row r="32" spans="1:10" x14ac:dyDescent="0.3">
      <c r="A32" t="s">
        <v>9</v>
      </c>
      <c r="B32">
        <v>4</v>
      </c>
      <c r="C32">
        <v>500</v>
      </c>
      <c r="D32">
        <v>4.2394730168965E-2</v>
      </c>
      <c r="E32" t="s">
        <v>1</v>
      </c>
      <c r="F32" t="s">
        <v>50</v>
      </c>
      <c r="G32" t="s">
        <v>66</v>
      </c>
      <c r="H32" t="s">
        <v>72</v>
      </c>
      <c r="I32" t="s">
        <v>69</v>
      </c>
      <c r="J32" t="s">
        <v>78</v>
      </c>
    </row>
    <row r="33" spans="1:10" x14ac:dyDescent="0.3">
      <c r="A33" t="s">
        <v>9</v>
      </c>
      <c r="B33">
        <v>5</v>
      </c>
      <c r="C33">
        <v>250</v>
      </c>
      <c r="D33">
        <v>5.7667557550383899E-2</v>
      </c>
      <c r="E33" t="s">
        <v>2</v>
      </c>
      <c r="F33" t="s">
        <v>51</v>
      </c>
      <c r="G33" t="s">
        <v>18</v>
      </c>
      <c r="J33" t="s">
        <v>78</v>
      </c>
    </row>
    <row r="34" spans="1:10" x14ac:dyDescent="0.3">
      <c r="A34" t="s">
        <v>9</v>
      </c>
      <c r="B34">
        <v>5</v>
      </c>
      <c r="C34">
        <v>500</v>
      </c>
      <c r="D34">
        <v>4.1005343546154503E-2</v>
      </c>
      <c r="E34" t="s">
        <v>1</v>
      </c>
      <c r="F34" t="s">
        <v>52</v>
      </c>
      <c r="G34" t="s">
        <v>18</v>
      </c>
      <c r="J34" t="s">
        <v>78</v>
      </c>
    </row>
    <row r="35" spans="1:10" x14ac:dyDescent="0.3">
      <c r="A35" t="s">
        <v>9</v>
      </c>
      <c r="B35">
        <v>5</v>
      </c>
      <c r="C35">
        <v>750</v>
      </c>
      <c r="D35">
        <v>3.1305239397767803E-2</v>
      </c>
      <c r="E35" t="s">
        <v>2</v>
      </c>
      <c r="F35" t="s">
        <v>53</v>
      </c>
      <c r="G35" t="s">
        <v>18</v>
      </c>
      <c r="J35" t="s">
        <v>78</v>
      </c>
    </row>
    <row r="36" spans="1:10" x14ac:dyDescent="0.3">
      <c r="A36" t="s">
        <v>9</v>
      </c>
      <c r="B36">
        <v>6</v>
      </c>
      <c r="C36">
        <v>500</v>
      </c>
      <c r="D36">
        <v>3.9325185851260498E-2</v>
      </c>
      <c r="E36" t="s">
        <v>1</v>
      </c>
      <c r="F36" t="s">
        <v>54</v>
      </c>
      <c r="G36" t="s">
        <v>18</v>
      </c>
      <c r="J36" t="s">
        <v>78</v>
      </c>
    </row>
    <row r="37" spans="1:10" x14ac:dyDescent="0.3">
      <c r="A37" t="s">
        <v>10</v>
      </c>
      <c r="B37">
        <v>4</v>
      </c>
      <c r="C37">
        <v>500</v>
      </c>
      <c r="D37">
        <v>1.90762285062001E-2</v>
      </c>
      <c r="E37" t="s">
        <v>2</v>
      </c>
      <c r="F37" t="s">
        <v>60</v>
      </c>
      <c r="G37" t="s">
        <v>18</v>
      </c>
      <c r="J37" t="s">
        <v>78</v>
      </c>
    </row>
    <row r="38" spans="1:10" x14ac:dyDescent="0.3">
      <c r="A38" t="s">
        <v>10</v>
      </c>
      <c r="B38">
        <v>5</v>
      </c>
      <c r="C38">
        <v>250</v>
      </c>
      <c r="D38">
        <v>2.6983121624501699E-2</v>
      </c>
      <c r="E38" t="s">
        <v>5</v>
      </c>
      <c r="F38" t="s">
        <v>61</v>
      </c>
      <c r="G38" t="s">
        <v>18</v>
      </c>
      <c r="J38" t="s">
        <v>78</v>
      </c>
    </row>
    <row r="39" spans="1:10" x14ac:dyDescent="0.3">
      <c r="A39" t="s">
        <v>10</v>
      </c>
      <c r="B39">
        <v>5</v>
      </c>
      <c r="C39">
        <v>500</v>
      </c>
      <c r="D39">
        <v>1.8567472074001098E-2</v>
      </c>
      <c r="E39" t="s">
        <v>5</v>
      </c>
      <c r="F39" t="s">
        <v>62</v>
      </c>
      <c r="G39" t="s">
        <v>18</v>
      </c>
      <c r="J39" t="s">
        <v>78</v>
      </c>
    </row>
    <row r="40" spans="1:10" x14ac:dyDescent="0.3">
      <c r="A40" t="s">
        <v>10</v>
      </c>
      <c r="B40">
        <v>5</v>
      </c>
      <c r="C40">
        <v>750</v>
      </c>
      <c r="D40">
        <v>1.47309514761527E-2</v>
      </c>
      <c r="E40" t="s">
        <v>5</v>
      </c>
      <c r="F40" t="s">
        <v>63</v>
      </c>
      <c r="G40" t="s">
        <v>18</v>
      </c>
      <c r="J40" t="s">
        <v>78</v>
      </c>
    </row>
    <row r="41" spans="1:10" x14ac:dyDescent="0.3">
      <c r="A41" t="s">
        <v>10</v>
      </c>
      <c r="B41">
        <v>6</v>
      </c>
      <c r="C41">
        <v>500</v>
      </c>
      <c r="D41">
        <v>1.8285777859235401E-2</v>
      </c>
      <c r="E41" t="s">
        <v>5</v>
      </c>
      <c r="F41" t="s">
        <v>64</v>
      </c>
      <c r="G41" t="s">
        <v>18</v>
      </c>
      <c r="J41" t="s">
        <v>78</v>
      </c>
    </row>
    <row r="42" spans="1:10" x14ac:dyDescent="0.3">
      <c r="A42" t="s">
        <v>11</v>
      </c>
      <c r="B42">
        <v>4</v>
      </c>
      <c r="C42">
        <v>500</v>
      </c>
      <c r="D42">
        <v>2.3218116823366101E-2</v>
      </c>
      <c r="E42" t="s">
        <v>1</v>
      </c>
      <c r="F42" t="s">
        <v>55</v>
      </c>
      <c r="G42" t="s">
        <v>66</v>
      </c>
      <c r="H42" t="s">
        <v>72</v>
      </c>
      <c r="I42" t="s">
        <v>69</v>
      </c>
      <c r="J42" t="s">
        <v>78</v>
      </c>
    </row>
    <row r="43" spans="1:10" x14ac:dyDescent="0.3">
      <c r="A43" t="s">
        <v>11</v>
      </c>
      <c r="B43">
        <v>5</v>
      </c>
      <c r="C43">
        <v>250</v>
      </c>
      <c r="D43">
        <v>3.1248772884319001E-2</v>
      </c>
      <c r="E43" t="s">
        <v>2</v>
      </c>
      <c r="F43" t="s">
        <v>56</v>
      </c>
      <c r="G43" t="s">
        <v>66</v>
      </c>
      <c r="H43" t="s">
        <v>72</v>
      </c>
      <c r="I43" t="s">
        <v>69</v>
      </c>
      <c r="J43" t="s">
        <v>78</v>
      </c>
    </row>
    <row r="44" spans="1:10" x14ac:dyDescent="0.3">
      <c r="A44" t="s">
        <v>11</v>
      </c>
      <c r="B44">
        <v>5</v>
      </c>
      <c r="C44">
        <v>500</v>
      </c>
      <c r="D44">
        <v>2.2119097122757701E-2</v>
      </c>
      <c r="E44" t="s">
        <v>5</v>
      </c>
      <c r="F44" t="s">
        <v>57</v>
      </c>
      <c r="G44" t="s">
        <v>66</v>
      </c>
      <c r="H44" t="s">
        <v>72</v>
      </c>
      <c r="I44" t="s">
        <v>69</v>
      </c>
      <c r="J44" t="s">
        <v>78</v>
      </c>
    </row>
    <row r="45" spans="1:10" x14ac:dyDescent="0.3">
      <c r="A45" t="s">
        <v>11</v>
      </c>
      <c r="B45">
        <v>5</v>
      </c>
      <c r="C45">
        <v>750</v>
      </c>
      <c r="D45">
        <v>1.7064719528380901E-2</v>
      </c>
      <c r="E45" t="s">
        <v>2</v>
      </c>
      <c r="F45" t="s">
        <v>58</v>
      </c>
      <c r="G45" t="s">
        <v>66</v>
      </c>
      <c r="H45" t="s">
        <v>72</v>
      </c>
      <c r="I45" t="s">
        <v>69</v>
      </c>
      <c r="J45" t="s">
        <v>78</v>
      </c>
    </row>
    <row r="46" spans="1:10" x14ac:dyDescent="0.3">
      <c r="A46" t="s">
        <v>11</v>
      </c>
      <c r="B46">
        <v>6</v>
      </c>
      <c r="C46">
        <v>500</v>
      </c>
      <c r="D46">
        <v>2.10634549824186E-2</v>
      </c>
      <c r="E46" t="s">
        <v>1</v>
      </c>
      <c r="F46" t="s">
        <v>59</v>
      </c>
      <c r="G46" t="s">
        <v>66</v>
      </c>
      <c r="H46" t="s">
        <v>72</v>
      </c>
      <c r="I46" t="s">
        <v>69</v>
      </c>
      <c r="J46" t="s">
        <v>78</v>
      </c>
    </row>
  </sheetData>
  <conditionalFormatting sqref="G1:G1048576">
    <cfRule type="cellIs" dxfId="2" priority="1" operator="equal">
      <formula>"re-run"</formula>
    </cfRule>
    <cfRule type="containsText" dxfId="1" priority="2" operator="containsText" text="failed">
      <formula>NOT(ISERROR(SEARCH("failed",G1)))</formula>
    </cfRule>
    <cfRule type="containsText" dxfId="0" priority="3" operator="containsText" text="done">
      <formula>NOT(ISERROR(SEARCH("done",G1)))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Georgina Borros</dc:creator>
  <cp:lastModifiedBy>Georgina Borros</cp:lastModifiedBy>
  <dcterms:created xsi:type="dcterms:W3CDTF">2015-06-05T18:17:20Z</dcterms:created>
  <dcterms:modified xsi:type="dcterms:W3CDTF">2026-04-02T11:24:57Z</dcterms:modified>
</cp:coreProperties>
</file>